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a4ac5e76e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2e20c96fe6f45bf"/>
    <x:sheet xmlns:r="http://schemas.openxmlformats.org/officeDocument/2006/relationships" name="Executive Summary" sheetId="2" r:id="R5dab76253c3741f3"/>
    <x:sheet xmlns:r="http://schemas.openxmlformats.org/officeDocument/2006/relationships" name="Dashboard" sheetId="3" r:id="Rc400684f55c24d42"/>
    <x:sheet xmlns:r="http://schemas.openxmlformats.org/officeDocument/2006/relationships" name="Detailed Records" sheetId="4" r:id="R1592a18e36924fce"/>
    <x:sheet xmlns:r="http://schemas.openxmlformats.org/officeDocument/2006/relationships" name="Analysis" sheetId="5" r:id="Rcad56182ff184765"/>
    <x:sheet xmlns:r="http://schemas.openxmlformats.org/officeDocument/2006/relationships" name="Scorecard" sheetId="6" r:id="Rcb19abbecb21406a"/>
    <x:sheet xmlns:r="http://schemas.openxmlformats.org/officeDocument/2006/relationships" name="Raw Data" sheetId="7" r:id="R969095b13d6843c7"/>
    <x:sheet xmlns:r="http://schemas.openxmlformats.org/officeDocument/2006/relationships" name="Data Dictionary" sheetId="8" r:id="Rddd89eabc0f0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"/>
    <x:numFmt numFmtId="201" formatCode="#,##0&quot; toman&quot;;[Red]-#,##0&quot; toman&quot;"/>
    <x:numFmt numFmtId="202" formatCode="0.0%"/>
    <x:numFmt numFmtId="203" formatCode="0"/>
    <x:numFmt numFmtId="204" formatCode="yyyy-mm-dd"/>
    <x:numFmt numFmtId="205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2"/>
      <x:color rgb="FF2D8B5B"/>
      <x:name val="Carlito"/>
    </x:font>
    <x:font>
      <x:sz val="11"/>
      <x:color rgb="FF172522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522"/>
      </x:patternFill>
    </x:fill>
    <x:fill>
      <x:patternFill patternType="solid">
        <x:fgColor rgb="FFE8F4EC"/>
      </x:patternFill>
    </x:fill>
    <x:fill>
      <x:patternFill patternType="solid">
        <x:fgColor rgb="FF2D8B5B"/>
      </x:patternFill>
    </x:fill>
    <x:fill>
      <x:patternFill patternType="solid">
        <x:fgColor rgb="FFDFF2AA"/>
      </x:patternFill>
    </x:fill>
    <x:fill>
      <x:patternFill patternType="solid">
        <x:fgColor rgb="FFFFF0CF"/>
      </x:patternFill>
    </x:fill>
    <x:fill>
      <x:patternFill patternType="solid">
        <x:fgColor rgb="FFFFE7E2"/>
      </x:patternFill>
    </x:fill>
  </x:fills>
  <x:borders count="3">
    <x:border/>
    <x:border>
      <x:bottom style="thin">
        <x:color rgb="FFD9E6DE"/>
      </x:bottom>
    </x:border>
    <x:border>
      <x:left style="thin">
        <x:color rgb="FFD9E6DE"/>
      </x:left>
      <x:right style="thin">
        <x:color rgb="FFD9E6DE"/>
      </x:right>
      <x:top style="thin">
        <x:color rgb="FFD9E6DE"/>
      </x:top>
      <x:bottom style="thin">
        <x:color rgb="FFD9E6DE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2" fontId="3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201" fontId="3" fillId="7" borderId="1" xfId="0" applyNumberFormat="1" applyFont="1" applyFill="1" applyBorder="1" applyAlignment="1">
      <x:alignment vertical="center" wrapText="1"/>
    </x:xf>
    <x:xf numFmtId="202" fontId="3" fillId="7" borderId="1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203" fontId="3" fillId="0" borderId="1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 wrapText="1"/>
    </x:xf>
    <x:xf numFmtId="204" fontId="3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5" fontId="3" fillId="0" borderId="0" xfId="0" applyNumberFormat="1" applyFont="1" applyFill="1" applyBorder="1" applyAlignment="1">
      <x:alignment vertical="center" wrapText="1"/>
    </x:xf>
    <x:xf numFmtId="205" fontId="3" fillId="0" borderId="1" xfId="0" applyNumberFormat="1" applyFont="1" applyFill="1" applyBorder="1" applyAlignment="1">
      <x:alignment vertical="center" wrapText="1"/>
    </x:xf>
    <x:xf numFmtId="205" fontId="3" fillId="5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202" fontId="3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532805fbe4db2" /><Relationship Type="http://schemas.openxmlformats.org/officeDocument/2006/relationships/theme" Target="/xl/theme/theme1.xml" Id="R3cf78ec2b81b4f9d" /><Relationship Type="http://schemas.openxmlformats.org/officeDocument/2006/relationships/sharedStrings" Target="/xl/sharedStrings.xml" Id="R3005331e186543f3" /><Relationship Type="http://schemas.openxmlformats.org/officeDocument/2006/relationships/worksheet" Target="/xl/worksheets/sheet1.xml" Id="R62e20c96fe6f45bf" /><Relationship Type="http://schemas.openxmlformats.org/officeDocument/2006/relationships/worksheet" Target="/xl/worksheets/sheet2.xml" Id="R5dab76253c3741f3" /><Relationship Type="http://schemas.openxmlformats.org/officeDocument/2006/relationships/worksheet" Target="/xl/worksheets/sheet3.xml" Id="Rc400684f55c24d42" /><Relationship Type="http://schemas.openxmlformats.org/officeDocument/2006/relationships/worksheet" Target="/xl/worksheets/sheet4.xml" Id="R1592a18e36924fce" /><Relationship Type="http://schemas.openxmlformats.org/officeDocument/2006/relationships/worksheet" Target="/xl/worksheets/sheet5.xml" Id="Rcad56182ff184765" /><Relationship Type="http://schemas.openxmlformats.org/officeDocument/2006/relationships/worksheet" Target="/xl/worksheets/sheet6.xml" Id="Rcb19abbecb21406a" /><Relationship Type="http://schemas.openxmlformats.org/officeDocument/2006/relationships/worksheet" Target="/xl/worksheets/sheet7.xml" Id="R969095b13d6843c7" /><Relationship Type="http://schemas.openxmlformats.org/officeDocument/2006/relationships/worksheet" Target="/xl/worksheets/sheet8.xml" Id="Rddd89eabc0f049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3c45a781ae4df4" /><Relationship Type="http://schemas.openxmlformats.org/officeDocument/2006/relationships/chart" Target="/xl/drawings/charts/chart2.xml" Id="Ra03001d6958544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day · toman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'Dashboard'!$A$4:$A$10</c:f>
              <c:strCache>
                <c:ptCount val="0"/>
              </c:strCache>
            </c:strRef>
          </c:cat>
          <c:val>
            <c:numRef>
              <c:f>'Dashboard'!$B$4:$B$10</c:f>
              <c:numCache>
                <c:formatCode>#,##0" toman";[Red]-#,##0" toman"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Toman</a:t>
                </a:r>
              </a:p>
            </c:rich>
          </c:tx>
        </c:title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Scorecard · 0–100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'Dashboard'!$F$4:$F$7</c:f>
              <c:strCache>
                <c:ptCount val="0"/>
              </c:strCache>
            </c:strRef>
          </c:cat>
          <c:val>
            <c:numRef>
              <c:f>'Dashboard'!$G$4:$G$7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3c45a781ae4df4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3001d69585444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obsTable" displayName="JobsTable" ref="A4:R12" headerRowCount="1" totalsRowCount="0" totalsRowShown="0">
  <x:tableColumns count="18">
    <x:tableColumn id="1" name="Job Number"/>
    <x:tableColumn id="2" name="Date"/>
    <x:tableColumn id="3" name="Arrival Time"/>
    <x:tableColumn id="4" name="Completion Time"/>
    <x:tableColumn id="5" name="Branch"/>
    <x:tableColumn id="6" name="Customer"/>
    <x:tableColumn id="7" name="Vehicle Plate"/>
    <x:tableColumn id="8" name="Vehicle"/>
    <x:tableColumn id="9" name="Service"/>
    <x:tableColumn id="10" name="Assigned Workers"/>
    <x:tableColumn id="11" name="Original Price"/>
    <x:tableColumn id="12" name="Discount"/>
    <x:tableColumn id="13" name="Final Price"/>
    <x:tableColumn id="14" name="Payment Method"/>
    <x:tableColumn id="15" name="Worker Commission"/>
    <x:tableColumn id="16" name="Payment Status"/>
    <x:tableColumn id="17" name="Quality Result"/>
    <x:tableColumn id="18" name="Job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JobsTable" displayName="RawJobsTable" ref="A3:H11" headerRowCount="1" totalsRowCount="0" totalsRowShown="0">
  <x:tableColumns count="8">
    <x:tableColumn id="1" name="Job Number"/>
    <x:tableColumn id="2" name="Status"/>
    <x:tableColumn id="3" name="Payment Status"/>
    <x:tableColumn id="4" name="Final Price"/>
    <x:tableColumn id="5" name="Discount"/>
    <x:tableColumn id="6" name="Quality Result"/>
    <x:tableColumn id="7" name="Customer"/>
    <x:tableColumn id="8" name="Pl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366d765daa249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aa3681f23584b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ad2b5498ac0148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0" hidden="0" customWidth="1"/>
    <x:col min="2" max="2" width="255" hidden="0" customWidth="1"/>
    <x:col min="3" max="3" width="120" hidden="0" customWidth="1"/>
    <x:col min="4" max="4" width="120" hidden="0" customWidth="1"/>
  </x:cols>
  <x:sheetData>
    <x:row r="1" ht="30" customHeight="1">
      <x:c r="A1" s="15" t="str">
        <x:v>ShinePro · Premium Management Report</x:v>
      </x:c>
      <x:c r="B1" s="15"/>
      <x:c r="C1" s="15"/>
      <x:c r="D1" s="15"/>
    </x:row>
    <x:row r="2">
      <x:c r="A2" s="44"/>
      <x:c r="B2" s="44"/>
      <x:c r="C2" s="44"/>
      <x:c r="D2" s="44"/>
    </x:row>
    <x:row r="3">
      <x:c r="A3" s="17" t="str">
        <x:v>Report</x:v>
      </x:c>
      <x:c r="B3" s="12" t="str">
        <x:v>Monthly Branch Performance</x:v>
      </x:c>
      <x:c r="C3" s="44"/>
      <x:c r="D3" s="44"/>
    </x:row>
    <x:row r="4">
      <x:c r="A4" s="17" t="str">
        <x:v>Business</x:v>
      </x:c>
      <x:c r="B4" s="12" t="str">
        <x:v>ShinePro Car Wash</x:v>
      </x:c>
      <x:c r="C4" s="44"/>
      <x:c r="D4" s="44"/>
    </x:row>
    <x:row r="5">
      <x:c r="A5" s="17" t="str">
        <x:v>Branch</x:v>
      </x:c>
      <x:c r="B5" s="12" t="str">
        <x:v>Tehran · Vanak</x:v>
      </x:c>
      <x:c r="C5" s="44"/>
      <x:c r="D5" s="44"/>
    </x:row>
    <x:row r="6">
      <x:c r="A6" s="17" t="str">
        <x:v>Period</x:v>
      </x:c>
      <x:c r="B6" s="12" t="str">
        <x:v>01–31 Jul 2026</x:v>
      </x:c>
      <x:c r="C6" s="44"/>
      <x:c r="D6" s="44"/>
    </x:row>
    <x:row r="7">
      <x:c r="A7" s="17" t="str">
        <x:v>Generated</x:v>
      </x:c>
      <x:c r="B7" s="14" t="n">
        <x:v>46232.425</x:v>
      </x:c>
      <x:c r="C7" s="44"/>
      <x:c r="D7" s="44"/>
    </x:row>
    <x:row r="8">
      <x:c r="A8" s="17" t="str">
        <x:v>Generated by</x:v>
      </x:c>
      <x:c r="B8" s="12" t="str">
        <x:v>Business Owner</x:v>
      </x:c>
      <x:c r="C8" s="44"/>
      <x:c r="D8" s="44"/>
    </x:row>
    <x:row r="9">
      <x:c r="A9" s="17" t="str">
        <x:v>Currency</x:v>
      </x:c>
      <x:c r="B9" s="12" t="str">
        <x:v>Iranian toman</x:v>
      </x:c>
      <x:c r="C9" s="44"/>
      <x:c r="D9" s="44"/>
    </x:row>
    <x:row r="10">
      <x:c r="A10" s="17" t="str">
        <x:v>Language</x:v>
      </x:c>
      <x:c r="B10" s="12" t="str">
        <x:v>English · RTL-ready</x:v>
      </x:c>
      <x:c r="C10" s="44"/>
      <x:c r="D10" s="44"/>
    </x:row>
    <x:row r="11">
      <x:c r="A11" s="17" t="str">
        <x:v>Scope</x:v>
      </x:c>
      <x:c r="B11" s="12" t="str">
        <x:v>Current branch only</x:v>
      </x:c>
      <x:c r="C11" s="44"/>
      <x:c r="D11" s="44"/>
    </x:row>
    <x:row r="12">
      <x:c r="A12" s="17" t="str">
        <x:v>Confidentiality</x:v>
      </x:c>
      <x:c r="B12" s="12" t="str">
        <x:v>Internal management report</x:v>
      </x:c>
      <x:c r="C12" s="44"/>
      <x:c r="D12" s="44"/>
    </x:row>
    <x:row r="13">
      <x:c r="A13" s="17" t="str">
        <x:v>Warning</x:v>
      </x:c>
      <x:c r="B13" s="12" t="str">
        <x:v>Customer ratings are incomplete in this sample; affected scores show Not Enough Data.</x:v>
      </x:c>
      <x:c r="C13" s="44"/>
      <x:c r="D13" s="44"/>
    </x:row>
    <x:row r="14">
      <x:c r="A14" s="17" t="str">
        <x:v>How to use</x:v>
      </x:c>
      <x:c r="B14" s="13" t="str">
        <x:v>Start with Executive Summary, then trace totals to Detailed Records and Raw Data.</x:v>
      </x:c>
      <x:c r="C14" s="44"/>
      <x:c r="D14" s="44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5" hidden="0" customWidth="1"/>
    <x:col min="2" max="2" width="135" hidden="0" customWidth="1"/>
    <x:col min="3" max="3" width="135" hidden="0" customWidth="1"/>
    <x:col min="4" max="4" width="105" hidden="0" customWidth="1"/>
    <x:col min="5" max="5" width="135" hidden="0" customWidth="1"/>
    <x:col min="6" max="6" width="255" hidden="0" customWidth="1"/>
  </x:cols>
  <x:sheetData>
    <x:row r="1">
      <x:c r="A1" s="4" t="str">
        <x:v>Executive Summary · what changed and what needs attention</x:v>
      </x:c>
      <x:c r="B1" s="4"/>
      <x:c r="C1" s="4"/>
      <x:c r="D1" s="4"/>
      <x:c r="E1" s="4"/>
      <x:c r="F1" s="4"/>
    </x:row>
    <x:row r="2">
      <x:c r="A2" s="45"/>
      <x:c r="B2" s="45"/>
      <x:c r="C2" s="45"/>
      <x:c r="D2" s="45"/>
      <x:c r="E2" s="45"/>
      <x:c r="F2" s="45"/>
    </x:row>
    <x:row r="3">
      <x:c r="A3" s="23" t="str">
        <x:v>KPI</x:v>
      </x:c>
      <x:c r="B3" s="23" t="str">
        <x:v>Current Value</x:v>
      </x:c>
      <x:c r="C3" s="23" t="str">
        <x:v>Previous Period</x:v>
      </x:c>
      <x:c r="D3" s="23" t="str">
        <x:v>Change</x:v>
      </x:c>
      <x:c r="E3" s="23" t="str">
        <x:v>Status</x:v>
      </x:c>
      <x:c r="F3" s="23" t="str">
        <x:v>Explanation</x:v>
      </x:c>
    </x:row>
    <x:row r="4">
      <x:c r="A4" s="12" t="str">
        <x:v>Total Jobs</x:v>
      </x:c>
      <x:c r="B4" s="12" t="n">
        <x:f>COUNTA('Detailed Records'!$A$5:$A$12)</x:f>
        <x:v>8</x:v>
      </x:c>
      <x:c r="C4" s="12" t="n">
        <x:v>24</x:v>
      </x:c>
      <x:c r="D4" s="26" t="n">
        <x:f>IF(C4=0,"",B4/C4-1)</x:f>
        <x:v>-0.6666666666666667</x:v>
      </x:c>
      <x:c r="E4" s="12" t="str">
        <x:v>Current snapshot</x:v>
      </x:c>
      <x:c r="F4" s="12" t="str">
        <x:v>All visible operational jobs in scope.</x:v>
      </x:c>
    </x:row>
    <x:row r="5">
      <x:c r="A5" s="12" t="str">
        <x:v>Completed Jobs</x:v>
      </x:c>
      <x:c r="B5" s="12" t="n">
        <x:f>COUNTIF('Detailed Records'!$R$5:$R$12,"Completed")</x:f>
        <x:v>1</x:v>
      </x:c>
      <x:c r="C5" s="12" t="n">
        <x:v>16</x:v>
      </x:c>
      <x:c r="D5" s="26" t="n">
        <x:f>IF(C5=0,"",B5/C5-1)</x:f>
        <x:v>-0.9375</x:v>
      </x:c>
      <x:c r="E5" s="12" t="str">
        <x:v>Finalized</x:v>
      </x:c>
      <x:c r="F5" s="12" t="str">
        <x:v>Jobs marked Completed or with Paid status.</x:v>
      </x:c>
    </x:row>
    <x:row r="6">
      <x:c r="A6" s="12" t="str">
        <x:v>Net Revenue</x:v>
      </x:c>
      <x:c r="B6" s="24" t="n">
        <x:f>SUM('Detailed Records'!$M$5:$M$12)-SUM('Detailed Records'!$O$5:$O$12)</x:f>
        <x:v>9999250</x:v>
      </x:c>
      <x:c r="C6" s="12" t="n">
        <x:v>12800000</x:v>
      </x:c>
      <x:c r="D6" s="26" t="n">
        <x:f>IF(C6=0,"",B6/C6-1)</x:f>
        <x:v>-0.21880859374999995</x:v>
      </x:c>
      <x:c r="E6" s="12" t="str">
        <x:v>Estimated</x:v>
      </x:c>
      <x:c r="F6" s="12" t="str">
        <x:v>Final customer charges less worker commissions.</x:v>
      </x:c>
    </x:row>
    <x:row r="7">
      <x:c r="A7" s="12" t="str">
        <x:v>Estimated Operating Profit</x:v>
      </x:c>
      <x:c r="B7" s="24" t="n">
        <x:f>B6-SUM('Raw Data'!$K$4:$K$6)</x:f>
        <x:v>8329250</x:v>
      </x:c>
      <x:c r="C7" s="12" t="n">
        <x:v>7800000</x:v>
      </x:c>
      <x:c r="D7" s="26" t="n">
        <x:f>IF(C7=0,"",B7/C7-1)</x:f>
        <x:v>0.06785256410256402</x:v>
      </x:c>
      <x:c r="E7" s="12" t="str">
        <x:v>Estimated</x:v>
      </x:c>
      <x:c r="F7" s="12" t="str">
        <x:v>Net revenue less recorded branch expenses.</x:v>
      </x:c>
    </x:row>
    <x:row r="8">
      <x:c r="A8" s="12" t="str">
        <x:v>Worker Commissions</x:v>
      </x:c>
      <x:c r="B8" s="24" t="n">
        <x:f>SUM('Detailed Records'!$O$5:$O$12)</x:f>
        <x:v>4640750</x:v>
      </x:c>
      <x:c r="C8" s="12" t="n">
        <x:v>3400000</x:v>
      </x:c>
      <x:c r="D8" s="26" t="n">
        <x:f>IF(C8=0,"",B8/C8-1)</x:f>
        <x:v>0.36492647058823535</x:v>
      </x:c>
      <x:c r="E8" s="12" t="str">
        <x:v>Accrued / estimated</x:v>
      </x:c>
      <x:c r="F8" s="12" t="str">
        <x:v>Price snapshots multiplied by assignment rates.</x:v>
      </x:c>
    </x:row>
    <x:row r="9">
      <x:c r="A9" s="12" t="str">
        <x:v>Cash Difference</x:v>
      </x:c>
      <x:c r="B9" s="24" t="n">
        <x:v>0</x:v>
      </x:c>
      <x:c r="C9" s="12" t="n">
        <x:v>0</x:v>
      </x:c>
      <x:c r="D9" s="12" t="str">
        <x:f>IF(C9=0,"",B9-C9)</x:f>
      </x:c>
      <x:c r="E9" s="12" t="str">
        <x:v>Balanced</x:v>
      </x:c>
      <x:c r="F9" s="12" t="str">
        <x:v>Actual cash less expected cash for the selected shift.</x:v>
      </x:c>
    </x:row>
    <x:row r="10">
      <x:c r="A10" s="28" t="str">
        <x:v>Quality Pass Rate</x:v>
      </x:c>
      <x:c r="B10" s="29" t="n">
        <x:f>COUNTIF('Detailed Records'!$Q$5:$Q$12,"Passed")/COUNTIF('Detailed Records'!$Q$5:$Q$12,"&lt;&gt;Pending")</x:f>
        <x:v>1</x:v>
      </x:c>
      <x:c r="C10" s="28" t="n">
        <x:v>0.96</x:v>
      </x:c>
      <x:c r="D10" s="28" t="n">
        <x:f>IF(C10=0,"",B10-C10)</x:f>
        <x:v>0.040000000000000036</x:v>
      </x:c>
      <x:c r="E10" s="28" t="str">
        <x:v>Good</x:v>
      </x:c>
      <x:c r="F10" s="28" t="str">
        <x:v>Passed quality outcomes divided by finalized quality outcomes.</x:v>
      </x:c>
    </x:row>
    <x:row r="11">
      <x:c r="A11" s="30" t="str">
        <x:v>Low Stock Alerts</x:v>
      </x:c>
      <x:c r="B11" s="30" t="n">
        <x:v>2</x:v>
      </x:c>
      <x:c r="C11" s="30" t="n">
        <x:v>2</x:v>
      </x:c>
      <x:c r="D11" s="30" t="n">
        <x:f>IF(C11=0,"",B11-C11)</x:f>
        <x:v>0</x:v>
      </x:c>
      <x:c r="E11" s="30" t="str">
        <x:v>Needs attention</x:v>
      </x:c>
      <x:c r="F11" s="30" t="str">
        <x:v>Active inventory items below minimum level.</x:v>
      </x:c>
    </x:row>
    <x:row r="12">
      <x:c r="A12" s="31" t="str">
        <x:v>Customer Receivable</x:v>
      </x:c>
      <x:c r="B12" s="32" t="n">
        <x:v>6200000</x:v>
      </x:c>
      <x:c r="C12" s="31" t="n">
        <x:v>6200000</x:v>
      </x:c>
      <x:c r="D12" s="33" t="n">
        <x:f>IF(C12=0,"",B12/C12-1)</x:f>
        <x:v>0</x:v>
      </x:c>
      <x:c r="E12" s="31" t="str">
        <x:v>Monitor</x:v>
      </x:c>
      <x:c r="F12" s="31" t="str">
        <x:v>Outstanding customer credit; not collected cash.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" hidden="0" customWidth="1"/>
    <x:col min="2" max="2" width="145" hidden="0" customWidth="1"/>
    <x:col min="3" max="3" width="90" hidden="0" customWidth="1"/>
    <x:col min="4" max="4" width="150" hidden="0" customWidth="1"/>
    <x:col min="5" max="5" width="35" hidden="0" customWidth="1"/>
    <x:col min="6" max="6" width="160" hidden="0" customWidth="1"/>
    <x:col min="7" max="7" width="90" hidden="0" customWidth="1"/>
    <x:col min="8" max="8" width="100" hidden="0" customWidth="1"/>
  </x:cols>
  <x:sheetData>
    <x:row r="1">
      <x:c r="A1" s="4" t="str">
        <x:v>Dashboard · revenue rhythm, service mix and scores</x:v>
      </x:c>
      <x:c r="B1" s="4"/>
      <x:c r="C1" s="4"/>
      <x:c r="D1" s="4"/>
      <x:c r="E1" s="4"/>
      <x:c r="F1" s="4"/>
      <x:c r="G1" s="4"/>
      <x:c r="H1" s="4"/>
    </x:row>
    <x:row r="2">
      <x:c r="A2" s="45"/>
      <x:c r="B2" s="45"/>
      <x:c r="C2" s="45"/>
      <x:c r="D2" s="45"/>
      <x:c r="E2" s="45"/>
      <x:c r="F2" s="45"/>
      <x:c r="G2" s="45"/>
      <x:c r="H2" s="45"/>
    </x:row>
    <x:row r="3">
      <x:c r="A3" s="23" t="str">
        <x:v>Day</x:v>
      </x:c>
      <x:c r="B3" s="23" t="str">
        <x:v>Revenue</x:v>
      </x:c>
      <x:c r="C3" s="23" t="str">
        <x:v>Jobs</x:v>
      </x:c>
      <x:c r="D3" s="23" t="str">
        <x:v>Source</x:v>
      </x:c>
      <x:c r="E3" s="45"/>
      <x:c r="F3" s="23" t="str">
        <x:v>Score</x:v>
      </x:c>
      <x:c r="G3" s="23" t="str">
        <x:v>Value</x:v>
      </x:c>
      <x:c r="H3" s="45"/>
    </x:row>
    <x:row r="4">
      <x:c r="A4" s="12" t="str">
        <x:v>Sat</x:v>
      </x:c>
      <x:c r="B4" s="24" t="n">
        <x:v>0</x:v>
      </x:c>
      <x:c r="C4" s="12" t="n">
        <x:v>0</x:v>
      </x:c>
      <x:c r="D4" s="12" t="str">
        <x:v>Daily operations</x:v>
      </x:c>
      <x:c r="E4" s="45"/>
      <x:c r="F4" s="12" t="str">
        <x:v>Branch Health</x:v>
      </x:c>
      <x:c r="G4" s="34" t="n">
        <x:v>78</x:v>
      </x:c>
      <x:c r="H4" s="45"/>
    </x:row>
    <x:row r="5">
      <x:c r="A5" s="12" t="str">
        <x:v>Sun</x:v>
      </x:c>
      <x:c r="B5" s="24" t="n">
        <x:v>0</x:v>
      </x:c>
      <x:c r="C5" s="12" t="n">
        <x:v>0</x:v>
      </x:c>
      <x:c r="D5" s="12" t="str">
        <x:v>Daily operations</x:v>
      </x:c>
      <x:c r="E5" s="45"/>
      <x:c r="F5" s="12" t="str">
        <x:v>Quality</x:v>
      </x:c>
      <x:c r="G5" s="34" t="n">
        <x:v>96</x:v>
      </x:c>
      <x:c r="H5" s="45"/>
    </x:row>
    <x:row r="6">
      <x:c r="A6" s="12" t="str">
        <x:v>Mon</x:v>
      </x:c>
      <x:c r="B6" s="24" t="n">
        <x:v>0</x:v>
      </x:c>
      <x:c r="C6" s="12" t="n">
        <x:v>0</x:v>
      </x:c>
      <x:c r="D6" s="12" t="str">
        <x:v>Daily operations</x:v>
      </x:c>
      <x:c r="E6" s="45"/>
      <x:c r="F6" s="12" t="str">
        <x:v>Cash Control</x:v>
      </x:c>
      <x:c r="G6" s="34" t="n">
        <x:v>100</x:v>
      </x:c>
      <x:c r="H6" s="45"/>
    </x:row>
    <x:row r="7">
      <x:c r="A7" s="12" t="str">
        <x:v>Tue</x:v>
      </x:c>
      <x:c r="B7" s="24" t="n">
        <x:v>12800000</x:v>
      </x:c>
      <x:c r="C7" s="12" t="n">
        <x:v>18</x:v>
      </x:c>
      <x:c r="D7" s="12" t="str">
        <x:v>Daily operations</x:v>
      </x:c>
      <x:c r="E7" s="45"/>
      <x:c r="F7" s="13" t="str">
        <x:v>Inventory Health</x:v>
      </x:c>
      <x:c r="G7" s="35" t="n">
        <x:v>60</x:v>
      </x:c>
      <x:c r="H7" s="45"/>
    </x:row>
    <x:row r="8">
      <x:c r="A8" s="12" t="str">
        <x:v>Wed</x:v>
      </x:c>
      <x:c r="B8" s="24" t="n">
        <x:v>0</x:v>
      </x:c>
      <x:c r="C8" s="12" t="n">
        <x:v>0</x:v>
      </x:c>
      <x:c r="D8" s="12" t="str">
        <x:v>Daily operations</x:v>
      </x:c>
      <x:c r="E8" s="45"/>
      <x:c r="F8" s="45"/>
      <x:c r="G8" s="45"/>
      <x:c r="H8" s="45"/>
    </x:row>
    <x:row r="9">
      <x:c r="A9" s="12" t="str">
        <x:v>Thu</x:v>
      </x:c>
      <x:c r="B9" s="24" t="n">
        <x:v>0</x:v>
      </x:c>
      <x:c r="C9" s="12" t="n">
        <x:v>0</x:v>
      </x:c>
      <x:c r="D9" s="12" t="str">
        <x:v>Daily operations</x:v>
      </x:c>
      <x:c r="E9" s="45"/>
      <x:c r="F9" s="45"/>
      <x:c r="G9" s="45"/>
      <x:c r="H9" s="45"/>
    </x:row>
    <x:row r="10">
      <x:c r="A10" s="13" t="str">
        <x:v>Fri</x:v>
      </x:c>
      <x:c r="B10" s="25" t="n">
        <x:v>0</x:v>
      </x:c>
      <x:c r="C10" s="13" t="n">
        <x:v>0</x:v>
      </x:c>
      <x:c r="D10" s="13" t="str">
        <x:v>Daily operations</x:v>
      </x:c>
      <x:c r="E10" s="45"/>
      <x:c r="F10" s="45"/>
      <x:c r="G10" s="45"/>
      <x:c r="H10" s="45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366d765daa2490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5" hidden="0" customWidth="1"/>
    <x:col min="2" max="2" width="105" hidden="0" customWidth="1"/>
    <x:col min="3" max="3" width="90" hidden="0" customWidth="1"/>
    <x:col min="4" max="4" width="105" hidden="0" customWidth="1"/>
    <x:col min="5" max="5" width="125" hidden="0" customWidth="1"/>
    <x:col min="6" max="6" width="150" hidden="0" customWidth="1"/>
    <x:col min="7" max="7" width="145" hidden="0" customWidth="1"/>
    <x:col min="8" max="8" width="145" hidden="0" customWidth="1"/>
    <x:col min="9" max="9" width="145" hidden="0" customWidth="1"/>
    <x:col min="10" max="10" width="210" hidden="0" customWidth="1"/>
    <x:col min="11" max="11" width="105" hidden="0" customWidth="1"/>
    <x:col min="12" max="12" width="100" hidden="0" customWidth="1"/>
    <x:col min="13" max="13" width="105" hidden="0" customWidth="1"/>
    <x:col min="14" max="14" width="145" hidden="0" customWidth="1"/>
    <x:col min="15" max="15" width="120" hidden="0" customWidth="1"/>
    <x:col min="16" max="16" width="135" hidden="0" customWidth="1"/>
    <x:col min="17" max="17" width="120" hidden="0" customWidth="1"/>
    <x:col min="18" max="18" width="155" hidden="0" customWidth="1"/>
  </x:cols>
  <x:sheetData>
    <x:row r="1">
      <x:c r="A1" s="4" t="str">
        <x:v>Detailed Records · human-readable operational records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23" t="str">
        <x:v>Job Number</x:v>
      </x:c>
      <x:c r="B4" s="23" t="str">
        <x:v>Date</x:v>
      </x:c>
      <x:c r="C4" s="23" t="str">
        <x:v>Arrival Time</x:v>
      </x:c>
      <x:c r="D4" s="23" t="str">
        <x:v>Completion Time</x:v>
      </x:c>
      <x:c r="E4" s="23" t="str">
        <x:v>Branch</x:v>
      </x:c>
      <x:c r="F4" s="23" t="str">
        <x:v>Customer</x:v>
      </x:c>
      <x:c r="G4" s="23" t="str">
        <x:v>Vehicle Plate</x:v>
      </x:c>
      <x:c r="H4" s="23" t="str">
        <x:v>Vehicle</x:v>
      </x:c>
      <x:c r="I4" s="23" t="str">
        <x:v>Service</x:v>
      </x:c>
      <x:c r="J4" s="23" t="str">
        <x:v>Assigned Workers</x:v>
      </x:c>
      <x:c r="K4" s="23" t="str">
        <x:v>Original Price</x:v>
      </x:c>
      <x:c r="L4" s="23" t="str">
        <x:v>Discount</x:v>
      </x:c>
      <x:c r="M4" s="23" t="str">
        <x:v>Final Price</x:v>
      </x:c>
      <x:c r="N4" s="23" t="str">
        <x:v>Payment Method</x:v>
      </x:c>
      <x:c r="O4" s="23" t="str">
        <x:v>Worker Commission</x:v>
      </x:c>
      <x:c r="P4" s="23" t="str">
        <x:v>Payment Status</x:v>
      </x:c>
      <x:c r="Q4" s="23" t="str">
        <x:v>Quality Result</x:v>
      </x:c>
      <x:c r="R4" s="23" t="str">
        <x:v>Job Status</x:v>
      </x:c>
    </x:row>
    <x:row r="5">
      <x:c r="A5" s="12" t="str">
        <x:v>CW-2026-000124</x:v>
      </x:c>
      <x:c r="B5" s="36" t="n">
        <x:v>46231.40138888889</x:v>
      </x:c>
      <x:c r="C5" s="12" t="str">
        <x:v>13:08</x:v>
      </x:c>
      <x:c r="D5" s="12" t="str"/>
      <x:c r="E5" s="12" t="str">
        <x:v>Tehran · Vanak</x:v>
      </x:c>
      <x:c r="F5" s="12" t="str">
        <x:v>Mina Farhadi</x:v>
      </x:c>
      <x:c r="G5" s="12" t="str">
        <x:v>21 ب 482 ایران 11</x:v>
      </x:c>
      <x:c r="H5" s="12" t="str">
        <x:v>Kia Cerato</x:v>
      </x:c>
      <x:c r="I5" s="12" t="str">
        <x:v>Full Wash</x:v>
      </x:c>
      <x:c r="J5" s="12" t="str">
        <x:v>Reza Moradi, Sara Ebrahimi</x:v>
      </x:c>
      <x:c r="K5" s="24" t="n">
        <x:v>550000</x:v>
      </x:c>
      <x:c r="L5" s="24" t="n">
        <x:v>50000</x:v>
      </x:c>
      <x:c r="M5" s="24" t="n">
        <x:v>500000</x:v>
      </x:c>
      <x:c r="N5" s="12" t="str">
        <x:v>Unpaid</x:v>
      </x:c>
      <x:c r="O5" s="24" t="n">
        <x:v>160000</x:v>
      </x:c>
      <x:c r="P5" s="12" t="str">
        <x:v>Unpaid</x:v>
      </x:c>
      <x:c r="Q5" s="12" t="str">
        <x:v>Pending</x:v>
      </x:c>
      <x:c r="R5" s="12" t="str">
        <x:v>Ready for Quality Check</x:v>
      </x:c>
    </x:row>
    <x:row r="6">
      <x:c r="A6" s="12" t="str">
        <x:v>CW-2026-000123</x:v>
      </x:c>
      <x:c r="B6" s="36" t="n">
        <x:v>46231.41736111111</x:v>
      </x:c>
      <x:c r="C6" s="12" t="str">
        <x:v>13:31</x:v>
      </x:c>
      <x:c r="D6" s="12" t="str"/>
      <x:c r="E6" s="12" t="str">
        <x:v>Tehran · Vanak</x:v>
      </x:c>
      <x:c r="F6" s="12" t="str">
        <x:v>Walk-in customer</x:v>
      </x:c>
      <x:c r="G6" s="12" t="str">
        <x:v>44 ت 319 ایران 22</x:v>
      </x:c>
      <x:c r="H6" s="12" t="str">
        <x:v>Peugeot 206</x:v>
      </x:c>
      <x:c r="I6" s="12" t="str">
        <x:v>Basic Exterior Wash</x:v>
      </x:c>
      <x:c r="J6" s="12" t="str"/>
      <x:c r="K6" s="24" t="n">
        <x:v>250000</x:v>
      </x:c>
      <x:c r="L6" s="24" t="n">
        <x:v>0</x:v>
      </x:c>
      <x:c r="M6" s="24" t="n">
        <x:v>250000</x:v>
      </x:c>
      <x:c r="N6" s="12" t="str">
        <x:v>Unpaid</x:v>
      </x:c>
      <x:c r="O6" s="24" t="n">
        <x:v>0</x:v>
      </x:c>
      <x:c r="P6" s="12" t="str">
        <x:v>Unpaid</x:v>
      </x:c>
      <x:c r="Q6" s="12" t="str">
        <x:v>Pending</x:v>
      </x:c>
      <x:c r="R6" s="12" t="str">
        <x:v>Waiting</x:v>
      </x:c>
    </x:row>
    <x:row r="7">
      <x:c r="A7" s="12" t="str">
        <x:v>CW-2026-000122</x:v>
      </x:c>
      <x:c r="B7" s="36" t="n">
        <x:v>46231.384722222225</x:v>
      </x:c>
      <x:c r="C7" s="12" t="str">
        <x:v>12:44</x:v>
      </x:c>
      <x:c r="D7" s="12" t="str"/>
      <x:c r="E7" s="12" t="str">
        <x:v>Tehran · Vanak</x:v>
      </x:c>
      <x:c r="F7" s="12" t="str">
        <x:v>Nader Kazemi</x:v>
      </x:c>
      <x:c r="G7" s="12" t="str">
        <x:v>12 ل 780 ایران 68</x:v>
      </x:c>
      <x:c r="H7" s="12" t="str">
        <x:v>Toyota RAV4</x:v>
      </x:c>
      <x:c r="I7" s="12" t="str">
        <x:v>Full Detailing</x:v>
      </x:c>
      <x:c r="J7" s="12" t="str">
        <x:v>Reza Moradi, Sara Ebrahimi</x:v>
      </x:c>
      <x:c r="K7" s="24" t="n">
        <x:v>8000000</x:v>
      </x:c>
      <x:c r="L7" s="24" t="n">
        <x:v>0</x:v>
      </x:c>
      <x:c r="M7" s="24" t="n">
        <x:v>8000000</x:v>
      </x:c>
      <x:c r="N7" s="12" t="str">
        <x:v>Unpaid</x:v>
      </x:c>
      <x:c r="O7" s="24" t="n">
        <x:v>2800000</x:v>
      </x:c>
      <x:c r="P7" s="12" t="str">
        <x:v>Unpaid</x:v>
      </x:c>
      <x:c r="Q7" s="12" t="str">
        <x:v>Pending</x:v>
      </x:c>
      <x:c r="R7" s="12" t="str">
        <x:v>In Progress</x:v>
      </x:c>
    </x:row>
    <x:row r="8">
      <x:c r="A8" s="12" t="str">
        <x:v>CW-2026-000121</x:v>
      </x:c>
      <x:c r="B8" s="36" t="n">
        <x:v>46231.3625</x:v>
      </x:c>
      <x:c r="C8" s="12" t="str">
        <x:v>12:12</x:v>
      </x:c>
      <x:c r="D8" s="12" t="str"/>
      <x:c r="E8" s="12" t="str">
        <x:v>Tehran · Vanak</x:v>
      </x:c>
      <x:c r="F8" s="12" t="str">
        <x:v>Peyman Jalali</x:v>
      </x:c>
      <x:c r="G8" s="12" t="str">
        <x:v>67 ن 210 ایران 45</x:v>
      </x:c>
      <x:c r="H8" s="12" t="str">
        <x:v>Hyundai Elantra</x:v>
      </x:c>
      <x:c r="I8" s="12" t="str">
        <x:v>Interior Cleaning</x:v>
      </x:c>
      <x:c r="J8" s="12" t="str">
        <x:v>Sara Ebrahimi, Reza Moradi</x:v>
      </x:c>
      <x:c r="K8" s="24" t="n">
        <x:v>350000</x:v>
      </x:c>
      <x:c r="L8" s="24" t="n">
        <x:v>0</x:v>
      </x:c>
      <x:c r="M8" s="24" t="n">
        <x:v>350000</x:v>
      </x:c>
      <x:c r="N8" s="12" t="str">
        <x:v>Unpaid</x:v>
      </x:c>
      <x:c r="O8" s="24" t="n">
        <x:v>91000</x:v>
      </x:c>
      <x:c r="P8" s="12" t="str">
        <x:v>Unpaid</x:v>
      </x:c>
      <x:c r="Q8" s="12" t="str">
        <x:v>Passed</x:v>
      </x:c>
      <x:c r="R8" s="12" t="str">
        <x:v>Ready for Payment</x:v>
      </x:c>
    </x:row>
    <x:row r="9">
      <x:c r="A9" s="12" t="str">
        <x:v>CW-2026-000120</x:v>
      </x:c>
      <x:c r="B9" s="36" t="n">
        <x:v>46231.34166666667</x:v>
      </x:c>
      <x:c r="C9" s="12" t="str">
        <x:v>11:42</x:v>
      </x:c>
      <x:c r="D9" s="12" t="str"/>
      <x:c r="E9" s="12" t="str">
        <x:v>Tehran · Vanak</x:v>
      </x:c>
      <x:c r="F9" s="12" t="str">
        <x:v>Atlas Logistics</x:v>
      </x:c>
      <x:c r="G9" s="12" t="str">
        <x:v>91 ص 008 ایران 17</x:v>
      </x:c>
      <x:c r="H9" s="12" t="str">
        <x:v>Hyundai H1</x:v>
      </x:c>
      <x:c r="I9" s="12" t="str">
        <x:v>Full Wash</x:v>
      </x:c>
      <x:c r="J9" s="12" t="str">
        <x:v>Reza Moradi, Kian Rostami</x:v>
      </x:c>
      <x:c r="K9" s="24" t="n">
        <x:v>850000</x:v>
      </x:c>
      <x:c r="L9" s="24" t="n">
        <x:v>85000</x:v>
      </x:c>
      <x:c r="M9" s="24" t="n">
        <x:v>765000</x:v>
      </x:c>
      <x:c r="N9" s="12" t="str">
        <x:v>Bank Transfer</x:v>
      </x:c>
      <x:c r="O9" s="24" t="n">
        <x:v>114750</x:v>
      </x:c>
      <x:c r="P9" s="12" t="str">
        <x:v>Awaiting Verification</x:v>
      </x:c>
      <x:c r="Q9" s="12" t="str">
        <x:v>Pending</x:v>
      </x:c>
      <x:c r="R9" s="12" t="str">
        <x:v>In Progress</x:v>
      </x:c>
    </x:row>
    <x:row r="10">
      <x:c r="A10" s="12" t="str">
        <x:v>CW-2026-000119</x:v>
      </x:c>
      <x:c r="B10" s="36" t="n">
        <x:v>46231.311111111114</x:v>
      </x:c>
      <x:c r="C10" s="12" t="str">
        <x:v>10:58</x:v>
      </x:c>
      <x:c r="D10" s="12" t="str">
        <x:v>11:27</x:v>
      </x:c>
      <x:c r="E10" s="12" t="str">
        <x:v>Tehran · Vanak</x:v>
      </x:c>
      <x:c r="F10" s="12" t="str">
        <x:v>Walk-in customer</x:v>
      </x:c>
      <x:c r="G10" s="12" t="str">
        <x:v>31 الف 420 ایران 10</x:v>
      </x:c>
      <x:c r="H10" s="12" t="str">
        <x:v>Tiba 2</x:v>
      </x:c>
      <x:c r="I10" s="12" t="str">
        <x:v>Engine Wash</x:v>
      </x:c>
      <x:c r="J10" s="12" t="str">
        <x:v>Reza Moradi, Kian Rostami</x:v>
      </x:c>
      <x:c r="K10" s="24" t="n">
        <x:v>300000</x:v>
      </x:c>
      <x:c r="L10" s="24" t="n">
        <x:v>0</x:v>
      </x:c>
      <x:c r="M10" s="24" t="n">
        <x:v>300000</x:v>
      </x:c>
      <x:c r="N10" s="12" t="str">
        <x:v>Cash</x:v>
      </x:c>
      <x:c r="O10" s="24" t="n">
        <x:v>75000</x:v>
      </x:c>
      <x:c r="P10" s="12" t="str">
        <x:v>Paid</x:v>
      </x:c>
      <x:c r="Q10" s="12" t="str">
        <x:v>Passed</x:v>
      </x:c>
      <x:c r="R10" s="12" t="str">
        <x:v>Completed</x:v>
      </x:c>
    </x:row>
    <x:row r="11">
      <x:c r="A11" s="12" t="str">
        <x:v>CW-2026-000118</x:v>
      </x:c>
      <x:c r="B11" s="36" t="n">
        <x:v>46231.288194444445</x:v>
      </x:c>
      <x:c r="C11" s="12" t="str">
        <x:v>10:25</x:v>
      </x:c>
      <x:c r="D11" s="12" t="str"/>
      <x:c r="E11" s="12" t="str">
        <x:v>Tehran · Vanak</x:v>
      </x:c>
      <x:c r="F11" s="12" t="str">
        <x:v>Laleh Moradi</x:v>
      </x:c>
      <x:c r="G11" s="12" t="str">
        <x:v>54 ک 611 ایران 33</x:v>
      </x:c>
      <x:c r="H11" s="12" t="str">
        <x:v>Chery Tiggo 7</x:v>
      </x:c>
      <x:c r="I11" s="12" t="str">
        <x:v>Polishing</x:v>
      </x:c>
      <x:c r="J11" s="12" t="str">
        <x:v>Reza Moradi, Kian Rostami</x:v>
      </x:c>
      <x:c r="K11" s="24" t="n">
        <x:v>4000000</x:v>
      </x:c>
      <x:c r="L11" s="24" t="n">
        <x:v>0</x:v>
      </x:c>
      <x:c r="M11" s="24" t="n">
        <x:v>4000000</x:v>
      </x:c>
      <x:c r="N11" s="12" t="str">
        <x:v>Unpaid</x:v>
      </x:c>
      <x:c r="O11" s="24" t="n">
        <x:v>1400000</x:v>
      </x:c>
      <x:c r="P11" s="12" t="str">
        <x:v>Unpaid</x:v>
      </x:c>
      <x:c r="Q11" s="12" t="str">
        <x:v>Pending</x:v>
      </x:c>
      <x:c r="R11" s="12" t="str">
        <x:v>Ready for Quality Check</x:v>
      </x:c>
    </x:row>
    <x:row r="12">
      <x:c r="A12" s="13" t="str">
        <x:v>CW-2026-000117</x:v>
      </x:c>
      <x:c r="B12" s="37" t="n">
        <x:v>46231.26388888889</x:v>
      </x:c>
      <x:c r="C12" s="13" t="str">
        <x:v>09:50</x:v>
      </x:c>
      <x:c r="D12" s="13" t="str"/>
      <x:c r="E12" s="13" t="str">
        <x:v>Tehran · Vanak</x:v>
      </x:c>
      <x:c r="F12" s="13" t="str">
        <x:v>Walk-in customer</x:v>
      </x:c>
      <x:c r="G12" s="13" t="str">
        <x:v>28 م 971 ایران 55</x:v>
      </x:c>
      <x:c r="H12" s="13" t="str">
        <x:v>Samand LX</x:v>
      </x:c>
      <x:c r="I12" s="13" t="str">
        <x:v>Wax</x:v>
      </x:c>
      <x:c r="J12" s="13" t="str"/>
      <x:c r="K12" s="25" t="n">
        <x:v>500000</x:v>
      </x:c>
      <x:c r="L12" s="25" t="n">
        <x:v>25000</x:v>
      </x:c>
      <x:c r="M12" s="25" t="n">
        <x:v>475000</x:v>
      </x:c>
      <x:c r="N12" s="13" t="str">
        <x:v>Unpaid</x:v>
      </x:c>
      <x:c r="O12" s="25" t="n">
        <x:v>0</x:v>
      </x:c>
      <x:c r="P12" s="13" t="str">
        <x:v>Unpaid</x:v>
      </x:c>
      <x:c r="Q12" s="13" t="str">
        <x:v>Pending</x:v>
      </x:c>
      <x:c r="R12" s="13" t="str">
        <x:v>Waiting</x:v>
      </x:c>
    </x:row>
  </x:sheetData>
  <x:mergeCells>
    <x:mergeCell ref="A1:R1"/>
  </x:mergeCells>
  <x:conditionalFormatting sqref="M5:M12">
    <x:cfRule type="dataBar" priority="1">
      <x:dataBar>
        <x:cfvo type="min"/>
        <x:cfvo type="max"/>
        <x:color rgb="FF2D8B5B"/>
      </x:dataBar>
    </x:cfRule>
  </x:conditionalFormatting>
  <x:conditionalFormatting sqref="P5:P12">
    <x:cfRule type="containsText" dxfId="0" priority="2" operator="containsText" text="Awaiting"/>
  </x:conditionalFormatting>
  <x:pageMargins left="0.7" right="0.7" top="0.75" bottom="0.75" header="0.3" footer="0.3"/>
  <x:tableParts count="1">
    <x:tablePart xmlns:r="http://schemas.openxmlformats.org/officeDocument/2006/relationships" r:id="R8aa3681f23584b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5" hidden="0" customWidth="1"/>
    <x:col min="2" max="2" width="100" hidden="0" customWidth="1"/>
    <x:col min="3" max="3" width="120" hidden="0" customWidth="1"/>
    <x:col min="4" max="4" width="255" hidden="0" customWidth="1"/>
  </x:cols>
  <x:sheetData>
    <x:row r="1">
      <x:c r="A1" s="4" t="str">
        <x:v>Analysis · grouped detail and score drivers</x:v>
      </x:c>
      <x:c r="B1" s="4"/>
      <x:c r="C1" s="4"/>
      <x:c r="D1" s="4"/>
    </x:row>
    <x:row r="2">
      <x:c r="A2" s="45"/>
      <x:c r="B2" s="45"/>
      <x:c r="C2" s="45"/>
      <x:c r="D2" s="45"/>
    </x:row>
    <x:row r="3">
      <x:c r="A3" s="23" t="str">
        <x:v>Service</x:v>
      </x:c>
      <x:c r="B3" s="23" t="str">
        <x:v>Jobs</x:v>
      </x:c>
      <x:c r="C3" s="23" t="str">
        <x:v>Revenue</x:v>
      </x:c>
      <x:c r="D3" s="23" t="str">
        <x:v>Share of revenue</x:v>
      </x:c>
    </x:row>
    <x:row r="4">
      <x:c r="A4" s="12" t="str">
        <x:v>Full Detailing</x:v>
      </x:c>
      <x:c r="B4" s="12" t="n">
        <x:v>1</x:v>
      </x:c>
      <x:c r="C4" s="24" t="n">
        <x:v>8000000</x:v>
      </x:c>
      <x:c r="D4" s="46" t="n">
        <x:f>C4/SUM($C$4:$C$10)</x:f>
        <x:v>0.546448087431694</x:v>
      </x:c>
    </x:row>
    <x:row r="5">
      <x:c r="A5" s="12" t="str">
        <x:v>Polishing</x:v>
      </x:c>
      <x:c r="B5" s="12" t="n">
        <x:v>1</x:v>
      </x:c>
      <x:c r="C5" s="24" t="n">
        <x:v>4000000</x:v>
      </x:c>
      <x:c r="D5" s="46" t="n">
        <x:f>C5/SUM($C$4:$C$10)</x:f>
        <x:v>0.273224043715847</x:v>
      </x:c>
    </x:row>
    <x:row r="6">
      <x:c r="A6" s="12" t="str">
        <x:v>Full Wash</x:v>
      </x:c>
      <x:c r="B6" s="12" t="n">
        <x:v>2</x:v>
      </x:c>
      <x:c r="C6" s="24" t="n">
        <x:v>1265000</x:v>
      </x:c>
      <x:c r="D6" s="46" t="n">
        <x:f>C6/SUM($C$4:$C$10)</x:f>
        <x:v>0.08640710382513661</x:v>
      </x:c>
    </x:row>
    <x:row r="7">
      <x:c r="A7" s="12" t="str">
        <x:v>Wax</x:v>
      </x:c>
      <x:c r="B7" s="12" t="n">
        <x:v>1</x:v>
      </x:c>
      <x:c r="C7" s="24" t="n">
        <x:v>475000</x:v>
      </x:c>
      <x:c r="D7" s="46" t="n">
        <x:f>C7/SUM($C$4:$C$10)</x:f>
        <x:v>0.03244535519125683</x:v>
      </x:c>
    </x:row>
    <x:row r="8">
      <x:c r="A8" s="12" t="str">
        <x:v>Engine Wash</x:v>
      </x:c>
      <x:c r="B8" s="12" t="n">
        <x:v>1</x:v>
      </x:c>
      <x:c r="C8" s="24" t="n">
        <x:v>300000</x:v>
      </x:c>
      <x:c r="D8" s="46" t="n">
        <x:f>C8/SUM($C$4:$C$10)</x:f>
        <x:v>0.020491803278688523</x:v>
      </x:c>
    </x:row>
    <x:row r="9">
      <x:c r="A9" s="12" t="str">
        <x:v>Interior Cleaning</x:v>
      </x:c>
      <x:c r="B9" s="12" t="n">
        <x:v>1</x:v>
      </x:c>
      <x:c r="C9" s="24" t="n">
        <x:v>350000</x:v>
      </x:c>
      <x:c r="D9" s="46" t="n">
        <x:f>C9/SUM($C$4:$C$10)</x:f>
        <x:v>0.02390710382513661</x:v>
      </x:c>
    </x:row>
    <x:row r="10">
      <x:c r="A10" s="13" t="str">
        <x:v>Basic Exterior Wash</x:v>
      </x:c>
      <x:c r="B10" s="13" t="n">
        <x:v>1</x:v>
      </x:c>
      <x:c r="C10" s="25" t="n">
        <x:v>250000</x:v>
      </x:c>
      <x:c r="D10" s="46" t="n">
        <x:f>C10/SUM($C$4:$C$10)</x:f>
        <x:v>0.01707650273224044</x:v>
      </x:c>
    </x:row>
    <x:row r="11">
      <x:c r="A11" s="45"/>
      <x:c r="B11" s="45"/>
      <x:c r="C11" s="45"/>
      <x:c r="D11" s="45"/>
    </x:row>
    <x:row r="12">
      <x:c r="A12" s="45"/>
      <x:c r="B12" s="45"/>
      <x:c r="C12" s="45"/>
      <x:c r="D12" s="45"/>
    </x:row>
    <x:row r="13">
      <x:c r="A13" s="23" t="str">
        <x:v>Factor</x:v>
      </x:c>
      <x:c r="B13" s="23" t="str">
        <x:v>Weight</x:v>
      </x:c>
      <x:c r="C13" s="23" t="str">
        <x:v>Factor Score</x:v>
      </x:c>
      <x:c r="D13" s="23" t="str">
        <x:v>Explanation</x:v>
      </x:c>
    </x:row>
    <x:row r="14">
      <x:c r="A14" s="12" t="str">
        <x:v>Revenue target achievement</x:v>
      </x:c>
      <x:c r="B14" s="26" t="n">
        <x:v>0.2</x:v>
      </x:c>
      <x:c r="C14" s="12" t="n">
        <x:v>85</x:v>
      </x:c>
      <x:c r="D14" s="12" t="str">
        <x:v>Revenue divided by 15,000,000 toman target.</x:v>
      </x:c>
    </x:row>
    <x:row r="15">
      <x:c r="A15" s="12" t="str">
        <x:v>Operating profit margin</x:v>
      </x:c>
      <x:c r="B15" s="26" t="n">
        <x:v>0.2</x:v>
      </x:c>
      <x:c r="C15" s="12" t="n">
        <x:v>78</x:v>
      </x:c>
      <x:c r="D15" s="12" t="str">
        <x:v>Estimated margin compared with a 35% target.</x:v>
      </x:c>
    </x:row>
    <x:row r="16">
      <x:c r="A16" s="12" t="str">
        <x:v>Quality pass rate</x:v>
      </x:c>
      <x:c r="B16" s="26" t="n">
        <x:v>0.15</x:v>
      </x:c>
      <x:c r="C16" s="26" t="n">
        <x:v>0.96</x:v>
      </x:c>
      <x:c r="D16" s="12" t="str">
        <x:v>Passed checks divided by finalized quality checks.</x:v>
      </x:c>
    </x:row>
    <x:row r="17">
      <x:c r="A17" s="12" t="str">
        <x:v>Customer satisfaction</x:v>
      </x:c>
      <x:c r="B17" s="26" t="n">
        <x:v>0.15</x:v>
      </x:c>
      <x:c r="C17" s="12" t="str">
        <x:v>Not Enough Data</x:v>
      </x:c>
      <x:c r="D17" s="12" t="str">
        <x:v>No approved rating records in the sample.</x:v>
      </x:c>
    </x:row>
    <x:row r="18">
      <x:c r="A18" s="12" t="str">
        <x:v>Cash accuracy</x:v>
      </x:c>
      <x:c r="B18" s="26" t="n">
        <x:v>0.1</x:v>
      </x:c>
      <x:c r="C18" s="26" t="n">
        <x:v>1</x:v>
      </x:c>
      <x:c r="D18" s="12" t="str">
        <x:v>100 minus absolute difference / expected cash.</x:v>
      </x:c>
    </x:row>
    <x:row r="19">
      <x:c r="A19" s="12" t="str">
        <x:v>Expense control</x:v>
      </x:c>
      <x:c r="B19" s="26" t="n">
        <x:v>0.08</x:v>
      </x:c>
      <x:c r="C19" s="12" t="n">
        <x:v>88</x:v>
      </x:c>
      <x:c r="D19" s="12" t="str">
        <x:v>100 minus expenses as a share of revenue.</x:v>
      </x:c>
    </x:row>
    <x:row r="20">
      <x:c r="A20" s="12" t="str">
        <x:v>Worker attendance</x:v>
      </x:c>
      <x:c r="B20" s="26" t="n">
        <x:v>0.05</x:v>
      </x:c>
      <x:c r="C20" s="12" t="n">
        <x:v>67</x:v>
      </x:c>
      <x:c r="D20" s="12" t="str">
        <x:v>Present workers / listed workers.</x:v>
      </x:c>
    </x:row>
    <x:row r="21">
      <x:c r="A21" s="12" t="str">
        <x:v>Rework control</x:v>
      </x:c>
      <x:c r="B21" s="26" t="n">
        <x:v>0.04</x:v>
      </x:c>
      <x:c r="C21" s="12" t="n">
        <x:v>100</x:v>
      </x:c>
      <x:c r="D21" s="12" t="str">
        <x:v>100 minus rework share.</x:v>
      </x:c>
    </x:row>
    <x:row r="22">
      <x:c r="A22" s="13" t="str">
        <x:v>Complaint control</x:v>
      </x:c>
      <x:c r="B22" s="27" t="n">
        <x:v>0.03</x:v>
      </x:c>
      <x:c r="C22" s="13" t="str">
        <x:v>Not Enough Data</x:v>
      </x:c>
      <x:c r="D22" s="13" t="str">
        <x:v>No complaint records in the sample.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0" hidden="0" customWidth="1"/>
    <x:col min="2" max="2" width="120" hidden="0" customWidth="1"/>
    <x:col min="3" max="3" width="130" hidden="0" customWidth="1"/>
    <x:col min="4" max="4" width="135" hidden="0" customWidth="1"/>
    <x:col min="5" max="5" width="160" hidden="0" customWidth="1"/>
    <x:col min="6" max="6" width="255" hidden="0" customWidth="1"/>
  </x:cols>
  <x:sheetData>
    <x:row r="1">
      <x:c r="A1" s="4" t="str">
        <x:v>0–100 Scorecard · transparent classifications and data completeness</x:v>
      </x:c>
      <x:c r="B1" s="4"/>
      <x:c r="C1" s="4"/>
      <x:c r="D1" s="4"/>
      <x:c r="E1" s="4"/>
      <x:c r="F1" s="4"/>
    </x:row>
    <x:row r="2">
      <x:c r="A2" s="45"/>
      <x:c r="B2" s="45"/>
      <x:c r="C2" s="45"/>
      <x:c r="D2" s="45"/>
      <x:c r="E2" s="45"/>
      <x:c r="F2" s="45"/>
    </x:row>
    <x:row r="3">
      <x:c r="A3" s="23" t="str">
        <x:v>Score Name</x:v>
      </x:c>
      <x:c r="B3" s="23" t="str">
        <x:v>Current Score</x:v>
      </x:c>
      <x:c r="C3" s="23" t="str">
        <x:v>Classification</x:v>
      </x:c>
      <x:c r="D3" s="23" t="str">
        <x:v>Data Completeness</x:v>
      </x:c>
      <x:c r="E3" s="23" t="str">
        <x:v>Period</x:v>
      </x:c>
      <x:c r="F3" s="23" t="str">
        <x:v>Recommendation</x:v>
      </x:c>
    </x:row>
    <x:row r="4">
      <x:c r="A4" s="28" t="str">
        <x:v>Branch Health Score</x:v>
      </x:c>
      <x:c r="B4" s="41" t="n">
        <x:v>78</x:v>
      </x:c>
      <x:c r="C4" s="28" t="str">
        <x:v>Good</x:v>
      </x:c>
      <x:c r="D4" s="29" t="n">
        <x:v>0.82</x:v>
      </x:c>
      <x:c r="E4" s="28" t="str">
        <x:v>01–31 Jul 2026</x:v>
      </x:c>
      <x:c r="F4" s="28" t="str">
        <x:v>Review customer satisfaction and complaint data before using this score for incentives.</x:v>
      </x:c>
    </x:row>
    <x:row r="5">
      <x:c r="A5" s="12" t="str">
        <x:v>Worker Performance · Reza Moradi</x:v>
      </x:c>
      <x:c r="B5" s="39" t="n">
        <x:v>83</x:v>
      </x:c>
      <x:c r="C5" s="12" t="str">
        <x:v>Good</x:v>
      </x:c>
      <x:c r="D5" s="26" t="n">
        <x:v>0.6</x:v>
      </x:c>
      <x:c r="E5" s="12" t="str">
        <x:v>Current snapshot</x:v>
      </x:c>
      <x:c r="F5" s="12" t="str">
        <x:v>Quality is strong; add feedback and efficiency data for a complete score.</x:v>
      </x:c>
    </x:row>
    <x:row r="6">
      <x:c r="A6" s="12" t="str">
        <x:v>Quality Score</x:v>
      </x:c>
      <x:c r="B6" s="26" t="n">
        <x:v>0.96</x:v>
      </x:c>
      <x:c r="C6" s="12" t="str">
        <x:v>Excellent</x:v>
      </x:c>
      <x:c r="D6" s="26" t="n">
        <x:v>0.75</x:v>
      </x:c>
      <x:c r="E6" s="12" t="str">
        <x:v>Current snapshot</x:v>
      </x:c>
      <x:c r="F6" s="12" t="str">
        <x:v>Keep first-pass quality checks complete.</x:v>
      </x:c>
    </x:row>
    <x:row r="7">
      <x:c r="A7" s="12" t="str">
        <x:v>Cash Control Score</x:v>
      </x:c>
      <x:c r="B7" s="26" t="n">
        <x:v>1</x:v>
      </x:c>
      <x:c r="C7" s="12" t="str">
        <x:v>Excellent</x:v>
      </x:c>
      <x:c r="D7" s="26" t="n">
        <x:v>1</x:v>
      </x:c>
      <x:c r="E7" s="12" t="str">
        <x:v>Current shift</x:v>
      </x:c>
      <x:c r="F7" s="12" t="str">
        <x:v>Reconcile and explain differences before closure.</x:v>
      </x:c>
    </x:row>
    <x:row r="8">
      <x:c r="A8" s="42" t="str">
        <x:v>Inventory Health Score</x:v>
      </x:c>
      <x:c r="B8" s="43" t="n">
        <x:v>0.6</x:v>
      </x:c>
      <x:c r="C8" s="42" t="str">
        <x:v>Acceptable</x:v>
      </x:c>
      <x:c r="D8" s="43" t="n">
        <x:v>1</x:v>
      </x:c>
      <x:c r="E8" s="42" t="str">
        <x:v>Current branch stock</x:v>
      </x:c>
      <x:c r="F8" s="42" t="str">
        <x:v>Reorder interior cleaner and tyre cleaner.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5" hidden="0" customWidth="1"/>
    <x:col min="2" max="2" width="145" hidden="0" customWidth="1"/>
    <x:col min="3" max="3" width="145" hidden="0" customWidth="1"/>
    <x:col min="4" max="4" width="120" hidden="0" customWidth="1"/>
    <x:col min="5" max="5" width="100" hidden="0" customWidth="1"/>
    <x:col min="6" max="6" width="130" hidden="0" customWidth="1"/>
    <x:col min="7" max="7" width="170" hidden="0" customWidth="1"/>
    <x:col min="8" max="8" width="145" hidden="0" customWidth="1"/>
    <x:col min="9" max="9" width="30" hidden="0" customWidth="1"/>
    <x:col min="10" max="10" width="210" hidden="0" customWidth="1"/>
    <x:col min="11" max="11" width="120" hidden="0" customWidth="1"/>
  </x:cols>
  <x:sheetData>
    <x:row r="1">
      <x:c r="A1" s="4" t="str">
        <x:v>Raw Data · authorized analysis 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A3" s="23" t="str">
        <x:v>Job Number</x:v>
      </x:c>
      <x:c r="B3" s="23" t="str">
        <x:v>Status</x:v>
      </x:c>
      <x:c r="C3" s="23" t="str">
        <x:v>Payment Status</x:v>
      </x:c>
      <x:c r="D3" s="23" t="str">
        <x:v>Final Price</x:v>
      </x:c>
      <x:c r="E3" s="23" t="str">
        <x:v>Discount</x:v>
      </x:c>
      <x:c r="F3" s="23" t="str">
        <x:v>Quality Result</x:v>
      </x:c>
      <x:c r="G3" s="23" t="str">
        <x:v>Customer</x:v>
      </x:c>
      <x:c r="H3" s="23" t="str">
        <x:v>Plate</x:v>
      </x:c>
      <x:c r="I3" s="23" t="str"/>
      <x:c r="J3" s="23" t="str">
        <x:v>Expense Category</x:v>
      </x:c>
      <x:c r="K3" s="23" t="str">
        <x:v>Amount</x:v>
      </x:c>
    </x:row>
    <x:row r="4">
      <x:c r="A4" s="12" t="str">
        <x:v>CW-2026-000124</x:v>
      </x:c>
      <x:c r="B4" s="12" t="str">
        <x:v>Ready for Quality Check</x:v>
      </x:c>
      <x:c r="C4" s="12" t="str">
        <x:v>Unpaid</x:v>
      </x:c>
      <x:c r="D4" s="24" t="n">
        <x:v>500000</x:v>
      </x:c>
      <x:c r="E4" s="24" t="n">
        <x:v>50000</x:v>
      </x:c>
      <x:c r="F4" s="12" t="str">
        <x:v>Pending</x:v>
      </x:c>
      <x:c r="G4" s="12" t="str">
        <x:v>Mina Farhadi</x:v>
      </x:c>
      <x:c r="H4" s="12" t="str">
        <x:v>21 ب 482 ایران 11</x:v>
      </x:c>
      <x:c r="I4" s="45"/>
      <x:c r="J4" s="12" t="str">
        <x:v>Premium foam &amp; chemicals</x:v>
      </x:c>
      <x:c r="K4" s="24" t="n">
        <x:v>820000</x:v>
      </x:c>
    </x:row>
    <x:row r="5">
      <x:c r="A5" s="12" t="str">
        <x:v>CW-2026-000123</x:v>
      </x:c>
      <x:c r="B5" s="12" t="str">
        <x:v>Waiting</x:v>
      </x:c>
      <x:c r="C5" s="12" t="str">
        <x:v>Unpaid</x:v>
      </x:c>
      <x:c r="D5" s="24" t="n">
        <x:v>250000</x:v>
      </x:c>
      <x:c r="E5" s="24" t="n">
        <x:v>0</x:v>
      </x:c>
      <x:c r="F5" s="12" t="str">
        <x:v>Pending</x:v>
      </x:c>
      <x:c r="G5" s="12" t="str">
        <x:v>Walk-in customer</x:v>
      </x:c>
      <x:c r="H5" s="12" t="str">
        <x:v>44 ت 319 ایران 22</x:v>
      </x:c>
      <x:c r="I5" s="45"/>
      <x:c r="J5" s="12" t="str">
        <x:v>Team lunch</x:v>
      </x:c>
      <x:c r="K5" s="24" t="n">
        <x:v>460000</x:v>
      </x:c>
    </x:row>
    <x:row r="6">
      <x:c r="A6" s="12" t="str">
        <x:v>CW-2026-000122</x:v>
      </x:c>
      <x:c r="B6" s="12" t="str">
        <x:v>In Progress</x:v>
      </x:c>
      <x:c r="C6" s="12" t="str">
        <x:v>Unpaid</x:v>
      </x:c>
      <x:c r="D6" s="24" t="n">
        <x:v>8000000</x:v>
      </x:c>
      <x:c r="E6" s="24" t="n">
        <x:v>0</x:v>
      </x:c>
      <x:c r="F6" s="12" t="str">
        <x:v>Pending</x:v>
      </x:c>
      <x:c r="G6" s="12" t="str">
        <x:v>Nader Kazemi</x:v>
      </x:c>
      <x:c r="H6" s="12" t="str">
        <x:v>12 ل 780 ایران 68</x:v>
      </x:c>
      <x:c r="I6" s="45"/>
      <x:c r="J6" s="13" t="str">
        <x:v>Microfiber cloths</x:v>
      </x:c>
      <x:c r="K6" s="25" t="n">
        <x:v>390000</x:v>
      </x:c>
    </x:row>
    <x:row r="7">
      <x:c r="A7" s="12" t="str">
        <x:v>CW-2026-000121</x:v>
      </x:c>
      <x:c r="B7" s="12" t="str">
        <x:v>Ready for Payment</x:v>
      </x:c>
      <x:c r="C7" s="12" t="str">
        <x:v>Unpaid</x:v>
      </x:c>
      <x:c r="D7" s="24" t="n">
        <x:v>350000</x:v>
      </x:c>
      <x:c r="E7" s="24" t="n">
        <x:v>0</x:v>
      </x:c>
      <x:c r="F7" s="12" t="str">
        <x:v>Passed</x:v>
      </x:c>
      <x:c r="G7" s="12" t="str">
        <x:v>Peyman Jalali</x:v>
      </x:c>
      <x:c r="H7" s="12" t="str">
        <x:v>67 ن 210 ایران 45</x:v>
      </x:c>
      <x:c r="I7" s="45"/>
      <x:c r="J7" s="45"/>
      <x:c r="K7" s="45"/>
    </x:row>
    <x:row r="8">
      <x:c r="A8" s="12" t="str">
        <x:v>CW-2026-000120</x:v>
      </x:c>
      <x:c r="B8" s="12" t="str">
        <x:v>In Progress</x:v>
      </x:c>
      <x:c r="C8" s="12" t="str">
        <x:v>Awaiting Verification</x:v>
      </x:c>
      <x:c r="D8" s="24" t="n">
        <x:v>765000</x:v>
      </x:c>
      <x:c r="E8" s="24" t="n">
        <x:v>85000</x:v>
      </x:c>
      <x:c r="F8" s="12" t="str">
        <x:v>Pending</x:v>
      </x:c>
      <x:c r="G8" s="12" t="str">
        <x:v>Atlas Logistics</x:v>
      </x:c>
      <x:c r="H8" s="12" t="str">
        <x:v>91 ص 008 ایران 17</x:v>
      </x:c>
      <x:c r="I8" s="45"/>
      <x:c r="J8" s="45"/>
      <x:c r="K8" s="45"/>
    </x:row>
    <x:row r="9">
      <x:c r="A9" s="12" t="str">
        <x:v>CW-2026-000119</x:v>
      </x:c>
      <x:c r="B9" s="12" t="str">
        <x:v>Completed</x:v>
      </x:c>
      <x:c r="C9" s="12" t="str">
        <x:v>Paid</x:v>
      </x:c>
      <x:c r="D9" s="24" t="n">
        <x:v>300000</x:v>
      </x:c>
      <x:c r="E9" s="24" t="n">
        <x:v>0</x:v>
      </x:c>
      <x:c r="F9" s="12" t="str">
        <x:v>Passed</x:v>
      </x:c>
      <x:c r="G9" s="12" t="str">
        <x:v>Walk-in customer</x:v>
      </x:c>
      <x:c r="H9" s="12" t="str">
        <x:v>31 الف 420 ایران 10</x:v>
      </x:c>
      <x:c r="I9" s="45"/>
      <x:c r="J9" s="45"/>
      <x:c r="K9" s="45"/>
    </x:row>
    <x:row r="10">
      <x:c r="A10" s="12" t="str">
        <x:v>CW-2026-000118</x:v>
      </x:c>
      <x:c r="B10" s="12" t="str">
        <x:v>Ready for Quality Check</x:v>
      </x:c>
      <x:c r="C10" s="12" t="str">
        <x:v>Unpaid</x:v>
      </x:c>
      <x:c r="D10" s="24" t="n">
        <x:v>4000000</x:v>
      </x:c>
      <x:c r="E10" s="24" t="n">
        <x:v>0</x:v>
      </x:c>
      <x:c r="F10" s="12" t="str">
        <x:v>Pending</x:v>
      </x:c>
      <x:c r="G10" s="12" t="str">
        <x:v>Laleh Moradi</x:v>
      </x:c>
      <x:c r="H10" s="12" t="str">
        <x:v>54 ک 611 ایران 33</x:v>
      </x:c>
      <x:c r="I10" s="45"/>
      <x:c r="J10" s="45"/>
      <x:c r="K10" s="45"/>
    </x:row>
    <x:row r="11">
      <x:c r="A11" s="13" t="str">
        <x:v>CW-2026-000117</x:v>
      </x:c>
      <x:c r="B11" s="13" t="str">
        <x:v>Waiting</x:v>
      </x:c>
      <x:c r="C11" s="13" t="str">
        <x:v>Unpaid</x:v>
      </x:c>
      <x:c r="D11" s="25" t="n">
        <x:v>475000</x:v>
      </x:c>
      <x:c r="E11" s="25" t="n">
        <x:v>25000</x:v>
      </x:c>
      <x:c r="F11" s="13" t="str">
        <x:v>Pending</x:v>
      </x:c>
      <x:c r="G11" s="13" t="str">
        <x:v>Walk-in customer</x:v>
      </x:c>
      <x:c r="H11" s="13" t="str">
        <x:v>28 م 971 ایران 55</x:v>
      </x:c>
      <x:c r="I11" s="45"/>
      <x:c r="J11" s="45"/>
      <x:c r="K11" s="45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d2b5498ac0148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0" hidden="0" customWidth="1"/>
    <x:col min="2" max="2" width="255" hidden="0" customWidth="1"/>
    <x:col min="3" max="3" width="250" hidden="0" customWidth="1"/>
    <x:col min="4" max="4" width="180" hidden="0" customWidth="1"/>
  </x:cols>
  <x:sheetData>
    <x:row r="1">
      <x:c r="A1" s="15" t="str">
        <x:v>Data Dictionary · what the report means</x:v>
      </x:c>
      <x:c r="B1" s="15"/>
      <x:c r="C1" s="15"/>
      <x:c r="D1" s="15"/>
    </x:row>
    <x:row r="2">
      <x:c r="A2" s="44"/>
      <x:c r="B2" s="44"/>
      <x:c r="C2" s="44"/>
      <x:c r="D2" s="44"/>
    </x:row>
    <x:row r="3">
      <x:c r="A3" s="23" t="str">
        <x:v>Column</x:v>
      </x:c>
      <x:c r="B3" s="23" t="str">
        <x:v>Meaning</x:v>
      </x:c>
      <x:c r="C3" s="23" t="str">
        <x:v>Data Source</x:v>
      </x:c>
      <x:c r="D3" s="23" t="str">
        <x:v>Format / Calculation</x:v>
      </x:c>
    </x:row>
    <x:row r="4">
      <x:c r="A4" s="12" t="str">
        <x:v>Net Revenue</x:v>
      </x:c>
      <x:c r="B4" s="12" t="str">
        <x:v>Final customer charges less worker commissions.</x:v>
      </x:c>
      <x:c r="C4" s="12" t="str">
        <x:v>Job price snapshots and assignment rules</x:v>
      </x:c>
      <x:c r="D4" s="12" t="str">
        <x:v>Iranian toman</x:v>
      </x:c>
    </x:row>
    <x:row r="5">
      <x:c r="A5" s="12" t="str">
        <x:v>Estimated Operating Profit</x:v>
      </x:c>
      <x:c r="B5" s="12" t="str">
        <x:v>Net revenue less recorded branch expenses.</x:v>
      </x:c>
      <x:c r="C5" s="12" t="str">
        <x:v>Executive Summary</x:v>
      </x:c>
      <x:c r="D5" s="12" t="str">
        <x:v>Estimated toman</x:v>
      </x:c>
    </x:row>
    <x:row r="6">
      <x:c r="A6" s="12" t="str">
        <x:v>Branch Health Score</x:v>
      </x:c>
      <x:c r="B6" s="12" t="str">
        <x:v>Weighted 0–100 score from visible factors.</x:v>
      </x:c>
      <x:c r="C6" s="12" t="str">
        <x:v>Analysis factor table</x:v>
      </x:c>
      <x:c r="D6" s="12" t="str">
        <x:v>0–100; classification shown</x:v>
      </x:c>
    </x:row>
    <x:row r="7">
      <x:c r="A7" s="12" t="str">
        <x:v>Quality Pass Rate</x:v>
      </x:c>
      <x:c r="B7" s="12" t="str">
        <x:v>Passed quality outcomes divided by finalized outcomes.</x:v>
      </x:c>
      <x:c r="C7" s="12" t="str">
        <x:v>Detailed Records</x:v>
      </x:c>
      <x:c r="D7" s="12" t="str">
        <x:v>Percentage</x:v>
      </x:c>
    </x:row>
    <x:row r="8">
      <x:c r="A8" s="12" t="str">
        <x:v>Customer Receivable</x:v>
      </x:c>
      <x:c r="B8" s="12" t="str">
        <x:v>Outstanding approved customer credit.</x:v>
      </x:c>
      <x:c r="C8" s="12" t="str">
        <x:v>Customer records</x:v>
      </x:c>
      <x:c r="D8" s="12" t="str">
        <x:v>Not collected cash</x:v>
      </x:c>
    </x:row>
    <x:row r="9">
      <x:c r="A9" s="12" t="str">
        <x:v>Raw Data</x:v>
      </x:c>
      <x:c r="B9" s="12" t="str">
        <x:v>Technical export for authorized analysis.</x:v>
      </x:c>
      <x:c r="C9" s="12" t="str">
        <x:v>Source operational state</x:v>
      </x:c>
      <x:c r="D9" s="12" t="str">
        <x:v>Restricted</x:v>
      </x:c>
    </x:row>
    <x:row r="10">
      <x:c r="A10" s="13" t="str">
        <x:v>Customer Rating</x:v>
      </x:c>
      <x:c r="B10" s="13" t="str">
        <x:v>Approved customer feedback when available.</x:v>
      </x:c>
      <x:c r="C10" s="13" t="str">
        <x:v>Feedback records</x:v>
      </x:c>
      <x:c r="D10" s="13" t="str">
        <x:v>Blank when unavailable</x:v>
      </x:c>
    </x:row>
  </x:sheetData>
  <x:mergeCells>
    <x:mergeCell ref="A1:D1"/>
  </x:mergeCells>
  <x:pageMargins left="0.7" right="0.7" top="0.75" bottom="0.75" header="0.3" footer="0.3"/>
</x:worksheet>
</file>